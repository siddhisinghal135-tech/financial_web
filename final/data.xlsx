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IAL\"/>
    </mc:Choice>
  </mc:AlternateContent>
  <xr:revisionPtr revIDLastSave="0" documentId="13_ncr:1_{927B7794-C005-4611-ABB3-D1668784F0BA}" xr6:coauthVersionLast="47" xr6:coauthVersionMax="47" xr10:uidLastSave="{00000000-0000-0000-0000-000000000000}"/>
  <bookViews>
    <workbookView xWindow="-110" yWindow="-110" windowWidth="19420" windowHeight="10300" activeTab="1" xr2:uid="{CC96F327-0BE6-4A13-8255-2B1583A840B9}"/>
  </bookViews>
  <sheets>
    <sheet name="DATA" sheetId="1" r:id="rId1"/>
    <sheet name="BALANCESHEET" sheetId="4" r:id="rId2"/>
    <sheet name="PROFITLOSS" sheetId="3" r:id="rId3"/>
    <sheet name="CASHFLOW" sheetId="2" r:id="rId4"/>
  </sheets>
  <calcPr calcId="181029"/>
</workbook>
</file>

<file path=xl/calcChain.xml><?xml version="1.0" encoding="utf-8"?>
<calcChain xmlns="http://schemas.openxmlformats.org/spreadsheetml/2006/main">
  <c r="B6" i="1" l="1"/>
  <c r="B5" i="1"/>
  <c r="B4" i="1"/>
  <c r="B3" i="1"/>
  <c r="B2" i="1"/>
</calcChain>
</file>

<file path=xl/sharedStrings.xml><?xml version="1.0" encoding="utf-8"?>
<sst xmlns="http://schemas.openxmlformats.org/spreadsheetml/2006/main" count="34" uniqueCount="29">
  <si>
    <t>YEAR</t>
  </si>
  <si>
    <t>TOTAL ASSETS</t>
  </si>
  <si>
    <t>TOTAL INCOME</t>
  </si>
  <si>
    <t>TOTAL EXPENDITURE</t>
  </si>
  <si>
    <t>EBIT</t>
  </si>
  <si>
    <t>NET PROFIT</t>
  </si>
  <si>
    <t>NET CASH FLOW</t>
  </si>
  <si>
    <t>ROE</t>
  </si>
  <si>
    <t>EPS</t>
  </si>
  <si>
    <t>REVENUE GROWTH</t>
  </si>
  <si>
    <t>EPS GROWTH</t>
  </si>
  <si>
    <t>PE</t>
  </si>
  <si>
    <t>SALES</t>
  </si>
  <si>
    <t>EQUITY</t>
  </si>
  <si>
    <t>OPERATING ACTIVITIES</t>
  </si>
  <si>
    <t>INVESTING ACTIVITIES</t>
  </si>
  <si>
    <t>FINANCING ACTIVITIES</t>
  </si>
  <si>
    <t>OTHERS</t>
  </si>
  <si>
    <t>OTHER INCOME</t>
  </si>
  <si>
    <t>INTEREST</t>
  </si>
  <si>
    <t>TAX</t>
  </si>
  <si>
    <t>SHARE CAPITAL</t>
  </si>
  <si>
    <t>RESERVES&amp;SURPLUS</t>
  </si>
  <si>
    <t>CURRENT LIABILITIES</t>
  </si>
  <si>
    <t>OTHER LIABILITIES</t>
  </si>
  <si>
    <t>TOTAL LIABILITIES</t>
  </si>
  <si>
    <t>FIXED ASSETS</t>
  </si>
  <si>
    <t>CURRENT ASSETS</t>
  </si>
  <si>
    <t>OTHER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</si>
</sst>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16" fillId="0" borderId="0" xfId="0" applyFont="1" applyAlignment="1">
      <alignment horizontal="center"/>
    </xf>
    <xf numFmtId="17" fontId="1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AA2A-43CD-4D8E-83FA-442391E5A780}">
  <dimension ref="A1:I6"/>
  <sheetViews>
    <sheetView workbookViewId="0">
      <selection activeCell="F1" sqref="F1:F1048576"/>
    </sheetView>
  </sheetViews>
  <sheetFormatPr defaultRowHeight="14.5" x14ac:dyDescent="0.35"/>
  <cols>
    <col min="1" max="16384" width="8.7265625" style="1"/>
  </cols>
  <sheetData>
    <row r="1" spans="1:9" ht="29" x14ac:dyDescent="0.35">
      <c r="A1" s="1" t="s">
        <v>0</v>
      </c>
      <c r="B1" s="1" t="s">
        <v>13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 x14ac:dyDescent="0.35">
      <c r="A2" s="2">
        <v>46102</v>
      </c>
      <c r="B2" s="1">
        <f>151+52350</f>
        <v>52501</v>
      </c>
      <c r="C2" s="1">
        <v>4220</v>
      </c>
      <c r="D2" s="1">
        <v>8.23</v>
      </c>
      <c r="E2" s="1">
        <v>140.02000000000001</v>
      </c>
      <c r="F2" s="3">
        <v>-6.9900000000000004E-2</v>
      </c>
      <c r="G2" s="3">
        <v>-0.25140000000000001</v>
      </c>
      <c r="H2" s="1">
        <v>47.21</v>
      </c>
      <c r="I2" s="1">
        <v>70372</v>
      </c>
    </row>
    <row r="3" spans="1:9" x14ac:dyDescent="0.35">
      <c r="A3" s="2">
        <v>46103</v>
      </c>
      <c r="B3" s="1">
        <f>151+55182</f>
        <v>55333</v>
      </c>
      <c r="C3" s="1">
        <v>3717</v>
      </c>
      <c r="D3" s="1">
        <v>6.96</v>
      </c>
      <c r="E3" s="1">
        <v>124.68</v>
      </c>
      <c r="F3" s="3">
        <v>0.25519999999999998</v>
      </c>
      <c r="G3" s="3">
        <v>-0.1096</v>
      </c>
      <c r="H3" s="1">
        <v>58.87</v>
      </c>
      <c r="I3" s="1">
        <v>88329</v>
      </c>
    </row>
    <row r="4" spans="1:9" x14ac:dyDescent="0.35">
      <c r="A4" s="2">
        <v>46104</v>
      </c>
      <c r="B4" s="1">
        <f>151+61640</f>
        <v>61791</v>
      </c>
      <c r="C4" s="1">
        <v>8033</v>
      </c>
      <c r="D4" s="1">
        <v>13.33</v>
      </c>
      <c r="E4" s="1">
        <v>266.45999999999998</v>
      </c>
      <c r="F4" s="3">
        <v>0.34050000000000002</v>
      </c>
      <c r="G4" s="3">
        <v>1.1372</v>
      </c>
      <c r="H4" s="1">
        <v>30.51</v>
      </c>
      <c r="I4" s="1">
        <v>117571</v>
      </c>
    </row>
    <row r="5" spans="1:9" x14ac:dyDescent="0.35">
      <c r="A5" s="2">
        <v>46105</v>
      </c>
      <c r="B5" s="1">
        <f>157+85479</f>
        <v>85636</v>
      </c>
      <c r="C5" s="1">
        <v>13234</v>
      </c>
      <c r="D5" s="1">
        <v>15.72</v>
      </c>
      <c r="E5" s="1">
        <v>431.08</v>
      </c>
      <c r="F5" s="3">
        <v>0.1908</v>
      </c>
      <c r="G5" s="3">
        <v>0.61780000000000002</v>
      </c>
      <c r="H5" s="1">
        <v>29.37</v>
      </c>
      <c r="I5" s="1">
        <v>141858</v>
      </c>
    </row>
    <row r="6" spans="1:9" x14ac:dyDescent="0.35">
      <c r="A6" s="2">
        <v>46106</v>
      </c>
      <c r="B6" s="1">
        <f>157+96083</f>
        <v>96240</v>
      </c>
      <c r="C6" s="1">
        <v>14256</v>
      </c>
      <c r="D6" s="1">
        <v>14.83</v>
      </c>
      <c r="E6" s="1">
        <v>443.86</v>
      </c>
      <c r="F6" s="3">
        <v>7.6999999999999999E-2</v>
      </c>
      <c r="G6" s="3">
        <v>2.9600000000000001E-2</v>
      </c>
      <c r="H6" s="1">
        <v>24.98</v>
      </c>
      <c r="I6" s="1">
        <v>152913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A2A1C-B2F1-47DE-8828-D39428146629}">
  <dimension ref="A1:J6"/>
  <sheetViews>
    <sheetView tabSelected="1" workbookViewId="0">
      <selection activeCell="C20" sqref="C20"/>
    </sheetView>
  </sheetViews>
  <sheetFormatPr defaultRowHeight="14.5" x14ac:dyDescent="0.35"/>
  <cols>
    <col min="1" max="1" width="13" customWidth="1"/>
    <col min="2" max="2" width="13.453125" customWidth="1"/>
    <col min="3" max="3" width="15.1796875" customWidth="1"/>
    <col min="4" max="4" width="16.453125" customWidth="1"/>
    <col min="5" max="5" width="13.36328125" customWidth="1"/>
    <col min="6" max="6" width="16.90625" customWidth="1"/>
    <col min="7" max="7" width="17.453125" customWidth="1"/>
    <col min="8" max="8" width="15.54296875" customWidth="1"/>
    <col min="9" max="9" width="16.54296875" customWidth="1"/>
    <col min="10" max="10" width="17.81640625" customWidth="1"/>
  </cols>
  <sheetData>
    <row r="1" spans="1:10" x14ac:dyDescent="0.35">
      <c r="A1" s="4" t="s">
        <v>0</v>
      </c>
      <c r="B1" s="7" t="s">
        <v>21</v>
      </c>
      <c r="C1" s="7" t="s">
        <v>22</v>
      </c>
      <c r="D1" s="7" t="s">
        <v>23</v>
      </c>
      <c r="E1" s="7" t="s">
        <v>24</v>
      </c>
      <c r="F1" s="4" t="s">
        <v>25</v>
      </c>
      <c r="G1" s="7" t="s">
        <v>26</v>
      </c>
      <c r="H1" s="7" t="s">
        <v>27</v>
      </c>
      <c r="I1" s="7" t="s">
        <v>28</v>
      </c>
      <c r="J1" s="4" t="s">
        <v>1</v>
      </c>
    </row>
    <row r="2" spans="1:10" x14ac:dyDescent="0.35">
      <c r="A2" s="5">
        <v>44256</v>
      </c>
      <c r="B2" s="7">
        <v>151</v>
      </c>
      <c r="C2" s="6">
        <v>52349</v>
      </c>
      <c r="D2" s="6">
        <v>16120</v>
      </c>
      <c r="E2" s="6">
        <v>2661</v>
      </c>
      <c r="F2" s="8">
        <v>71282</v>
      </c>
      <c r="G2" s="6">
        <v>16485</v>
      </c>
      <c r="H2" s="6">
        <v>18544</v>
      </c>
      <c r="I2" s="6">
        <v>36252</v>
      </c>
      <c r="J2" s="8">
        <v>71282</v>
      </c>
    </row>
    <row r="3" spans="1:10" x14ac:dyDescent="0.35">
      <c r="A3" s="5">
        <v>44621</v>
      </c>
      <c r="B3" s="7">
        <v>151</v>
      </c>
      <c r="C3" s="6">
        <v>55182</v>
      </c>
      <c r="D3" s="6">
        <v>17023</v>
      </c>
      <c r="E3" s="6">
        <v>2298</v>
      </c>
      <c r="F3" s="8">
        <v>74655</v>
      </c>
      <c r="G3" s="6">
        <v>16683</v>
      </c>
      <c r="H3" s="6">
        <v>16793</v>
      </c>
      <c r="I3" s="6">
        <v>41178</v>
      </c>
      <c r="J3" s="8">
        <v>74655</v>
      </c>
    </row>
    <row r="4" spans="1:10" x14ac:dyDescent="0.35">
      <c r="A4" s="5">
        <v>44986</v>
      </c>
      <c r="B4" s="7">
        <v>151</v>
      </c>
      <c r="C4" s="6">
        <v>61640</v>
      </c>
      <c r="D4" s="6">
        <v>20107</v>
      </c>
      <c r="E4" s="6">
        <v>2698</v>
      </c>
      <c r="F4" s="8">
        <v>84596</v>
      </c>
      <c r="G4" s="6">
        <v>20734</v>
      </c>
      <c r="H4" s="6">
        <v>11615</v>
      </c>
      <c r="I4" s="6">
        <v>52246</v>
      </c>
      <c r="J4" s="8">
        <v>84596</v>
      </c>
    </row>
    <row r="5" spans="1:10" x14ac:dyDescent="0.35">
      <c r="A5" s="5">
        <v>45352</v>
      </c>
      <c r="B5" s="7">
        <v>157</v>
      </c>
      <c r="C5" s="6">
        <v>85478</v>
      </c>
      <c r="D5" s="6">
        <v>25951</v>
      </c>
      <c r="E5" s="6">
        <v>3762</v>
      </c>
      <c r="F5" s="8">
        <v>115350</v>
      </c>
      <c r="G5" s="6">
        <v>35599</v>
      </c>
      <c r="H5" s="6">
        <v>22633</v>
      </c>
      <c r="I5" s="6">
        <v>57117</v>
      </c>
      <c r="J5" s="8">
        <v>115350</v>
      </c>
    </row>
    <row r="6" spans="1:10" x14ac:dyDescent="0.35">
      <c r="A6" s="5">
        <v>45717</v>
      </c>
      <c r="B6" s="7">
        <v>157</v>
      </c>
      <c r="C6" s="6">
        <v>96082</v>
      </c>
      <c r="D6" s="6">
        <v>30570</v>
      </c>
      <c r="E6" s="6">
        <v>5161</v>
      </c>
      <c r="F6" s="8">
        <v>131971</v>
      </c>
      <c r="G6" s="6">
        <v>40911</v>
      </c>
      <c r="H6" s="6">
        <v>29524</v>
      </c>
      <c r="I6" s="6">
        <v>61535</v>
      </c>
      <c r="J6" s="8">
        <v>131971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AB27-321E-45B5-AC2B-2E9FE4C19C41}">
  <dimension ref="A1:I6"/>
  <sheetViews>
    <sheetView workbookViewId="0">
      <selection activeCell="E1" sqref="E1:E1048576"/>
    </sheetView>
  </sheetViews>
  <sheetFormatPr defaultRowHeight="14.5" x14ac:dyDescent="0.35"/>
  <cols>
    <col min="1" max="1" width="18.26953125" customWidth="1"/>
    <col min="2" max="2" width="11.6328125" customWidth="1"/>
    <col min="3" max="3" width="14.453125" customWidth="1"/>
    <col min="4" max="4" width="15.6328125" customWidth="1"/>
    <col min="5" max="5" width="17.6328125" customWidth="1"/>
    <col min="6" max="6" width="20.26953125" customWidth="1"/>
    <col min="7" max="7" width="14" customWidth="1"/>
    <col min="8" max="8" width="11.54296875" customWidth="1"/>
    <col min="9" max="9" width="14.7265625" customWidth="1"/>
  </cols>
  <sheetData>
    <row r="1" spans="1:9" x14ac:dyDescent="0.35">
      <c r="A1" s="4" t="s">
        <v>0</v>
      </c>
      <c r="B1" s="7" t="s">
        <v>12</v>
      </c>
      <c r="C1" s="7" t="s">
        <v>18</v>
      </c>
      <c r="D1" s="4" t="s">
        <v>2</v>
      </c>
      <c r="E1" s="4" t="s">
        <v>3</v>
      </c>
      <c r="F1" s="7" t="s">
        <v>4</v>
      </c>
      <c r="G1" s="7" t="s">
        <v>19</v>
      </c>
      <c r="H1" s="7" t="s">
        <v>20</v>
      </c>
      <c r="I1" s="7" t="s">
        <v>5</v>
      </c>
    </row>
    <row r="2" spans="1:9" x14ac:dyDescent="0.35">
      <c r="A2" s="5">
        <v>44256</v>
      </c>
      <c r="B2" s="6">
        <v>70372</v>
      </c>
      <c r="C2" s="6">
        <v>2936</v>
      </c>
      <c r="D2" s="8">
        <v>73308</v>
      </c>
      <c r="E2" s="8">
        <v>68054</v>
      </c>
      <c r="F2" s="6">
        <v>5253</v>
      </c>
      <c r="G2" s="6">
        <v>101</v>
      </c>
      <c r="H2" s="6">
        <v>931</v>
      </c>
      <c r="I2" s="6">
        <v>4220</v>
      </c>
    </row>
    <row r="3" spans="1:9" x14ac:dyDescent="0.35">
      <c r="A3" s="5">
        <v>44621</v>
      </c>
      <c r="B3" s="6">
        <v>88329</v>
      </c>
      <c r="C3" s="6">
        <v>1744</v>
      </c>
      <c r="D3" s="8">
        <v>90074</v>
      </c>
      <c r="E3" s="8">
        <v>85412</v>
      </c>
      <c r="F3" s="6">
        <v>4661</v>
      </c>
      <c r="G3" s="6">
        <v>126</v>
      </c>
      <c r="H3" s="6">
        <v>817</v>
      </c>
      <c r="I3" s="6">
        <v>3717</v>
      </c>
    </row>
    <row r="4" spans="1:9" x14ac:dyDescent="0.35">
      <c r="A4" s="5">
        <v>44986</v>
      </c>
      <c r="B4" s="6">
        <v>117571</v>
      </c>
      <c r="C4" s="6">
        <v>2140</v>
      </c>
      <c r="D4" s="8">
        <v>119712</v>
      </c>
      <c r="E4" s="8">
        <v>109379</v>
      </c>
      <c r="F4" s="6">
        <v>10332</v>
      </c>
      <c r="G4" s="6">
        <v>187</v>
      </c>
      <c r="H4" s="6">
        <v>2112</v>
      </c>
      <c r="I4" s="6">
        <v>8033</v>
      </c>
    </row>
    <row r="5" spans="1:9" x14ac:dyDescent="0.35">
      <c r="A5" s="5">
        <v>45352</v>
      </c>
      <c r="B5" s="6">
        <v>141858</v>
      </c>
      <c r="C5" s="6">
        <v>4093</v>
      </c>
      <c r="D5" s="8">
        <v>145951</v>
      </c>
      <c r="E5" s="8">
        <v>128587</v>
      </c>
      <c r="F5" s="6">
        <v>17364</v>
      </c>
      <c r="G5" s="6">
        <v>193</v>
      </c>
      <c r="H5" s="6">
        <v>3936</v>
      </c>
      <c r="I5" s="6">
        <v>13234</v>
      </c>
    </row>
    <row r="6" spans="1:9" x14ac:dyDescent="0.35">
      <c r="A6" s="5">
        <v>45717</v>
      </c>
      <c r="B6" s="6">
        <v>152913</v>
      </c>
      <c r="C6" s="6">
        <v>5022</v>
      </c>
      <c r="D6" s="8">
        <v>157935</v>
      </c>
      <c r="E6" s="8">
        <v>138364</v>
      </c>
      <c r="F6" s="6">
        <v>19570</v>
      </c>
      <c r="G6" s="6">
        <v>194</v>
      </c>
      <c r="H6" s="6">
        <v>5119</v>
      </c>
      <c r="I6" s="6">
        <v>14256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254C4-2BD2-4233-B345-CD64EB885DBC}">
  <dimension ref="A1:F6"/>
  <sheetViews>
    <sheetView workbookViewId="0">
      <selection activeCell="C19" sqref="C19"/>
    </sheetView>
  </sheetViews>
  <sheetFormatPr defaultRowHeight="14.5" x14ac:dyDescent="0.35"/>
  <cols>
    <col min="1" max="1" width="17.90625" customWidth="1"/>
    <col min="2" max="2" width="17.6328125" customWidth="1"/>
    <col min="3" max="3" width="24.36328125" customWidth="1"/>
    <col min="4" max="4" width="23.08984375" customWidth="1"/>
    <col min="5" max="5" width="18.1796875" customWidth="1"/>
    <col min="6" max="6" width="18.6328125" customWidth="1"/>
  </cols>
  <sheetData>
    <row r="1" spans="1:6" x14ac:dyDescent="0.35">
      <c r="A1" s="4" t="s">
        <v>0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6</v>
      </c>
    </row>
    <row r="2" spans="1:6" x14ac:dyDescent="0.35">
      <c r="A2" s="5">
        <v>44256</v>
      </c>
      <c r="B2" s="6">
        <v>8856</v>
      </c>
      <c r="C2" s="6">
        <v>-7291</v>
      </c>
      <c r="D2" s="6">
        <v>-1544</v>
      </c>
      <c r="E2" s="6">
        <v>0</v>
      </c>
      <c r="F2" s="6">
        <v>20</v>
      </c>
    </row>
    <row r="3" spans="1:6" x14ac:dyDescent="0.35">
      <c r="A3" s="5">
        <v>44621</v>
      </c>
      <c r="B3" s="6">
        <v>1840</v>
      </c>
      <c r="C3" s="7">
        <v>-239</v>
      </c>
      <c r="D3" s="6">
        <v>-1607</v>
      </c>
      <c r="E3" s="7">
        <v>0</v>
      </c>
      <c r="F3" s="7">
        <v>-5</v>
      </c>
    </row>
    <row r="4" spans="1:6" x14ac:dyDescent="0.35">
      <c r="A4" s="5">
        <v>44986</v>
      </c>
      <c r="B4" s="6">
        <v>9251</v>
      </c>
      <c r="C4" s="6">
        <v>-8036</v>
      </c>
      <c r="D4" s="6">
        <v>-1213</v>
      </c>
      <c r="E4" s="6">
        <v>0</v>
      </c>
      <c r="F4" s="6">
        <v>2</v>
      </c>
    </row>
    <row r="5" spans="1:6" x14ac:dyDescent="0.35">
      <c r="A5" s="5">
        <v>45352</v>
      </c>
      <c r="B5" s="6">
        <v>16801</v>
      </c>
      <c r="C5" s="6">
        <v>-11864</v>
      </c>
      <c r="D5" s="6">
        <v>-4062</v>
      </c>
      <c r="E5" s="6">
        <v>0</v>
      </c>
      <c r="F5" s="6">
        <v>874</v>
      </c>
    </row>
    <row r="6" spans="1:6" x14ac:dyDescent="0.35">
      <c r="A6" s="5">
        <v>45717</v>
      </c>
      <c r="B6" s="6">
        <v>16136</v>
      </c>
      <c r="C6" s="6">
        <v>-14456</v>
      </c>
      <c r="D6" s="6">
        <v>-4155</v>
      </c>
      <c r="E6" s="6">
        <v>0</v>
      </c>
      <c r="F6" s="6">
        <v>-2475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BALANCESHEET</vt:lpstr>
      <vt:lpstr>PROFITLOSS</vt:lpstr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</dc:creator>
  <cp:lastModifiedBy>Kavya Bhagwani</cp:lastModifiedBy>
  <dcterms:created xsi:type="dcterms:W3CDTF">2026-03-02T14:16:19Z</dcterms:created>
  <dcterms:modified xsi:type="dcterms:W3CDTF">2026-03-04T04:56:41Z</dcterms:modified>
</cp:coreProperties>
</file>